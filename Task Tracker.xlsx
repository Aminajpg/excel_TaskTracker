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a\Downloads\"/>
    </mc:Choice>
  </mc:AlternateContent>
  <xr:revisionPtr revIDLastSave="0" documentId="13_ncr:1_{A2DFBA18-C62D-474D-BFB1-1E70B3CC43CE}" xr6:coauthVersionLast="47" xr6:coauthVersionMax="47" xr10:uidLastSave="{00000000-0000-0000-0000-000000000000}"/>
  <bookViews>
    <workbookView xWindow="-108" yWindow="-108" windowWidth="23256" windowHeight="12456" xr2:uid="{1A5F5666-BE82-F64F-A80E-7F153D5D7E43}"/>
  </bookViews>
  <sheets>
    <sheet name="Dashboard" sheetId="4" r:id="rId1"/>
    <sheet name="Support Sheet" sheetId="2" r:id="rId2"/>
  </sheets>
  <definedNames>
    <definedName name="_xlnm._FilterDatabase" localSheetId="0" hidden="1">Dashboard!$B$25:$L$25</definedName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N3" i="2"/>
  <c r="F3" i="2" a="1"/>
  <c r="F3" i="2" s="1"/>
  <c r="I3" i="2" a="1"/>
  <c r="I3" i="2" s="1"/>
  <c r="M4" i="2"/>
  <c r="M5" i="2"/>
  <c r="M3" i="2"/>
  <c r="C4" i="2"/>
  <c r="C5" i="2"/>
  <c r="C3" i="2"/>
  <c r="J26" i="4"/>
  <c r="J28" i="4"/>
  <c r="J27" i="4"/>
  <c r="J29" i="4"/>
  <c r="J30" i="4"/>
  <c r="J31" i="4"/>
  <c r="J32" i="4"/>
  <c r="J33" i="4"/>
  <c r="J34" i="4"/>
  <c r="J35" i="4"/>
  <c r="J36" i="4"/>
  <c r="J37" i="4"/>
  <c r="J38" i="4"/>
  <c r="J39" i="4"/>
  <c r="J40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26" i="4"/>
  <c r="K3" i="2" l="1"/>
  <c r="C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<sst xmlns="http://schemas.openxmlformats.org/spreadsheetml/2006/main" count="144" uniqueCount="77">
  <si>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>Task Name</t>
  </si>
  <si>
    <t>Task ID</t>
  </si>
  <si>
    <t>Start Date</t>
  </si>
  <si>
    <t>Due Date</t>
  </si>
  <si>
    <t>Status</t>
  </si>
  <si>
    <t>Overdue?</t>
  </si>
  <si>
    <t>Task Owner</t>
  </si>
  <si>
    <t>Comments</t>
  </si>
  <si>
    <t>In Progress</t>
  </si>
  <si>
    <t>Not Started</t>
  </si>
  <si>
    <t>Owners</t>
  </si>
  <si>
    <t>Task Duration</t>
  </si>
  <si>
    <t>Overdue</t>
  </si>
  <si>
    <t>T001</t>
  </si>
  <si>
    <t>Prepare Q4 Financial Report</t>
  </si>
  <si>
    <t>Sarah Johnson</t>
  </si>
  <si>
    <t>Completed</t>
  </si>
  <si>
    <t>Submitted to CFO for review.</t>
  </si>
  <si>
    <t>T002</t>
  </si>
  <si>
    <t>David Kim</t>
  </si>
  <si>
    <t>Draft findings ready; awaiting survey data.</t>
  </si>
  <si>
    <t>T003</t>
  </si>
  <si>
    <t>Redesign Website Homepage</t>
  </si>
  <si>
    <t>Wireframes approved; development in progress.</t>
  </si>
  <si>
    <t>T004</t>
  </si>
  <si>
    <t>Update Sales Forecast for FY2026</t>
  </si>
  <si>
    <t>James Miller</t>
  </si>
  <si>
    <t>Final version shared with Sales Director.</t>
  </si>
  <si>
    <t>T005</t>
  </si>
  <si>
    <t>Implement CRM Upgrade</t>
  </si>
  <si>
    <t>Alex Chen</t>
  </si>
  <si>
    <t>Vendor confirmed delivery timeline.</t>
  </si>
  <si>
    <t>T006</t>
  </si>
  <si>
    <t>Plan Annual Company Retreat</t>
  </si>
  <si>
    <t>Emily Davis</t>
  </si>
  <si>
    <t>Venue options being shortlisted.</t>
  </si>
  <si>
    <t>T007</t>
  </si>
  <si>
    <t>Updated contracts aligned with new regulation.</t>
  </si>
  <si>
    <t>T008</t>
  </si>
  <si>
    <t>Launch Social Media Campaign</t>
  </si>
  <si>
    <t>Marketing</t>
  </si>
  <si>
    <t>Initial creatives approved, campaign scheduled.</t>
  </si>
  <si>
    <t>T009</t>
  </si>
  <si>
    <t>Recruit New Data Analyst</t>
  </si>
  <si>
    <t>First round of interviews completed.</t>
  </si>
  <si>
    <t>T010</t>
  </si>
  <si>
    <t>Survey questions finalized.</t>
  </si>
  <si>
    <t>T011</t>
  </si>
  <si>
    <t>Prepare Investor Presentation</t>
  </si>
  <si>
    <t>Draft slides ready; awaiting financial highlights.</t>
  </si>
  <si>
    <t>T012</t>
  </si>
  <si>
    <t>External consultant engagement pending.</t>
  </si>
  <si>
    <t>T013</t>
  </si>
  <si>
    <t>Evaluate Vendor Proposals for Logistics</t>
  </si>
  <si>
    <t>Three proposals shortlisted for management review.</t>
  </si>
  <si>
    <t>T014</t>
  </si>
  <si>
    <t>Draft Q1 Marketing Strategy</t>
  </si>
  <si>
    <t>Strategy</t>
  </si>
  <si>
    <t>Kick-off meeting scheduled next week.</t>
  </si>
  <si>
    <t>T015</t>
  </si>
  <si>
    <t>Audit Internal Expense Reports</t>
  </si>
  <si>
    <t>Waiting for submission of all departmental reports.</t>
  </si>
  <si>
    <t>Conduct Market Research</t>
  </si>
  <si>
    <t>Review Legal for Contracts</t>
  </si>
  <si>
    <t>Conduct Employee Survey</t>
  </si>
  <si>
    <t>Finance</t>
  </si>
  <si>
    <t>HR</t>
  </si>
  <si>
    <t>Upgrade Infrastructure</t>
  </si>
  <si>
    <t>Count</t>
  </si>
  <si>
    <t>Total</t>
  </si>
  <si>
    <t>Team</t>
  </si>
  <si>
    <t>Priority</t>
  </si>
  <si>
    <t>High</t>
  </si>
  <si>
    <t>Medium</t>
  </si>
  <si>
    <t>Low</t>
  </si>
  <si>
    <t>Due Today</t>
  </si>
  <si>
    <t>Date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</si>
</sst>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\ &quot;Days&quot;"/>
  </numFmts>
  <fonts count="9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765A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2577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4BA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14" fontId="0" fillId="0" borderId="0" xfId="0" applyNumberFormat="1"/>
    <xf numFmtId="14" fontId="0" fillId="3" borderId="0" xfId="0" applyNumberFormat="1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0" borderId="0" xfId="0" applyBorder="1"/>
    <xf numFmtId="44" fontId="0" fillId="3" borderId="0" xfId="4" applyFont="1" applyFill="1" applyAlignment="1"/>
    <xf numFmtId="14" fontId="0" fillId="3" borderId="0" xfId="4" applyNumberFormat="1" applyFont="1" applyFill="1" applyAlignment="1">
      <alignment horizontal="center"/>
    </xf>
    <xf numFmtId="0" fontId="4" fillId="4" borderId="0" xfId="1" applyFont="1" applyFill="1" applyAlignment="1">
      <alignment horizontal="center"/>
    </xf>
  </cellXfs>
  <cellStyles count="5">
    <cellStyle name="Hyperlink 2" xfId="3" xr:uid="{D116B123-67C6-344C-8E97-773FA34E970D}"/>
    <cellStyle name="Normal 2" xfId="1" xr:uid="{A1221B63-1151-9945-AD17-D34A8F7994D7}"/>
    <cellStyle name="Normal 2 2" xfId="2" xr:uid="{6371BA46-78D2-CF43-B416-26A12EFA2F80}"/>
    <cellStyle name="Standard" xfId="0" builtinId="0"/>
    <cellStyle name="Währung" xfId="4" builtinId="4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764BA2"/>
      <color rgb="FF667EEA"/>
      <color rgb="FF38A3A5"/>
      <color rgb="FF765A00"/>
      <color rgb="FFC49500"/>
      <color rgb="FF22577A"/>
      <color rgb="FFC7F9CC"/>
      <color rgb="FFC0E6F5"/>
      <color rgb="FF57CC99"/>
      <color rgb="FF80ED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5-41AC-AED9-B30B92080A45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5-41AC-AED9-B30B92080A4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5-41AC-AED9-B30B92080A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'Support Sheet'!$L$3:$L$5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'Support Sheet'!$M$3:$M$5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A5-41AC-AED9-B30B92080A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28128607"/>
        <c:axId val="1628129087"/>
      </c:barChart>
      <c:catAx>
        <c:axId val="1628128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8129087"/>
        <c:crosses val="autoZero"/>
        <c:auto val="1"/>
        <c:lblAlgn val="ctr"/>
        <c:lblOffset val="100"/>
        <c:noMultiLvlLbl val="0"/>
      </c:catAx>
      <c:valAx>
        <c:axId val="16281290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28128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de-DE" sz="1800" b="1">
                <a:solidFill>
                  <a:schemeClr val="bg1"/>
                </a:solidFill>
              </a:rPr>
              <a:t>Tasks By Team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'Support Sheet'!$H$3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'Support Sheet'!$I$3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A-4C9A-BCB9-6D3939470C77}"/>
            </c:ext>
          </c:extLst>
        </c:ser>
        <c:ser>
          <c:idx val="1"/>
          <c:order val="1"/>
          <c:tx>
            <c:strRef>
              <c:f>'Support Sheet'!$H$4</c:f>
              <c:strCache>
                <c:ptCount val="1"/>
                <c:pt idx="0">
                  <c:v>Strategy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'Support Sheet'!$I$4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A-4C9A-BCB9-6D3939470C77}"/>
            </c:ext>
          </c:extLst>
        </c:ser>
        <c:ser>
          <c:idx val="2"/>
          <c:order val="2"/>
          <c:tx>
            <c:strRef>
              <c:f>'Support Sheet'!$H$5</c:f>
              <c:strCache>
                <c:ptCount val="1"/>
                <c:pt idx="0">
                  <c:v>HR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'Support Sheet'!$I$5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6A-4C9A-BCB9-6D3939470C77}"/>
            </c:ext>
          </c:extLst>
        </c:ser>
        <c:ser>
          <c:idx val="3"/>
          <c:order val="3"/>
          <c:tx>
            <c:strRef>
              <c:f>'Support Sheet'!$H$6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'Support Sheet'!$I$6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6A-4C9A-BCB9-6D3939470C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61489551"/>
        <c:axId val="161490031"/>
      </c:barChart>
      <c:catAx>
        <c:axId val="161489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1490031"/>
        <c:crosses val="autoZero"/>
        <c:auto val="1"/>
        <c:lblAlgn val="ctr"/>
        <c:lblOffset val="100"/>
        <c:noMultiLvlLbl val="0"/>
      </c:catAx>
      <c:valAx>
        <c:axId val="1614900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48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de-DE" sz="1800" b="1"/>
              <a:t>Tasks By Owners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'Support Sheet'!$E$3:$E$7</c:f>
              <c:strCache>
                <c:ptCount val="5"/>
                <c:pt idx="0">
                  <c:v>Sarah Johnson</c:v>
                </c:pt>
                <c:pt idx="1">
                  <c:v>David Kim</c:v>
                </c:pt>
                <c:pt idx="2">
                  <c:v>James Miller</c:v>
                </c:pt>
                <c:pt idx="3">
                  <c:v>Alex Chen</c:v>
                </c:pt>
                <c:pt idx="4">
                  <c:v>Emily Davis</c:v>
                </c:pt>
              </c:strCache>
            </c:strRef>
          </c:cat>
          <c:val>
            <c:numRef>
              <c:f>'Support Sheet'!$F$3:$F$7</c:f>
              <c:numCache>
                <c:formatCode>General</c:formatCode>
                <c:ptCount val="5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4-4DE6-A2FA-A38531366B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109711"/>
        <c:axId val="147110191"/>
      </c:barChart>
      <c:catAx>
        <c:axId val="1471097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7110191"/>
        <c:crosses val="autoZero"/>
        <c:auto val="1"/>
        <c:lblAlgn val="ctr"/>
        <c:lblOffset val="100"/>
        <c:noMultiLvlLbl val="0"/>
      </c:catAx>
      <c:valAx>
        <c:axId val="1471101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10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129887</xdr:colOff>
      <xdr:row>9</xdr:row>
      <xdr:rowOff>86591</xdr:rowOff>
    </xdr:from>
    <xdr:to>
      <xdr:col>12</xdr:col>
      <xdr:colOff>108857</xdr:colOff>
      <xdr:row>21</xdr:row>
      <xdr:rowOff>190500</xdr:rowOff>
    </xdr:to>
    <xdr:sp macro="" textlink="">
      <xdr:nvSpPr>
        <xdr:cNvPr id="35" name="Rechteck: abgerundete Ecken 34">
          <a:extLst>
            <a:ext uri="{FF2B5EF4-FFF2-40B4-BE49-F238E27FC236}">
              <a16:creationId xmlns:a16="http://schemas.microsoft.com/office/drawing/2014/main" id="{DA3019A2-D8BF-BEFF-A4EB-49CECF6A9605}"/>
            </a:ext>
          </a:extLst>
        </xdr:cNvPr>
        <xdr:cNvSpPr/>
      </xdr:nvSpPr>
      <xdr:spPr>
        <a:xfrm>
          <a:off x="9654887" y="1991591"/>
          <a:ext cx="4197184" cy="2498766"/>
        </a:xfrm>
        <a:prstGeom prst="roundRect">
          <a:avLst/>
        </a:prstGeom>
        <a:solidFill>
          <a:srgbClr val="764BA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1013114</xdr:colOff>
      <xdr:row>9</xdr:row>
      <xdr:rowOff>83635</xdr:rowOff>
    </xdr:from>
    <xdr:to>
      <xdr:col>9</xdr:col>
      <xdr:colOff>831273</xdr:colOff>
      <xdr:row>21</xdr:row>
      <xdr:rowOff>172898</xdr:rowOff>
    </xdr:to>
    <xdr:sp macro="" textlink="">
      <xdr:nvSpPr>
        <xdr:cNvPr id="33" name="Rechteck: abgerundete Ecken 32">
          <a:extLst>
            <a:ext uri="{FF2B5EF4-FFF2-40B4-BE49-F238E27FC236}">
              <a16:creationId xmlns:a16="http://schemas.microsoft.com/office/drawing/2014/main" id="{A12149AE-8DCF-48B1-8AE8-1B1B695AA140}"/>
            </a:ext>
          </a:extLst>
        </xdr:cNvPr>
        <xdr:cNvSpPr/>
      </xdr:nvSpPr>
      <xdr:spPr>
        <a:xfrm>
          <a:off x="4961659" y="1979976"/>
          <a:ext cx="4554682" cy="2479172"/>
        </a:xfrm>
        <a:prstGeom prst="roundRect">
          <a:avLst/>
        </a:prstGeom>
        <a:solidFill>
          <a:srgbClr val="764BA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0</xdr:col>
      <xdr:colOff>193183</xdr:colOff>
      <xdr:row>9</xdr:row>
      <xdr:rowOff>96591</xdr:rowOff>
    </xdr:from>
    <xdr:to>
      <xdr:col>4</xdr:col>
      <xdr:colOff>880057</xdr:colOff>
      <xdr:row>21</xdr:row>
      <xdr:rowOff>185854</xdr:rowOff>
    </xdr:to>
    <xdr:sp macro="" textlink="">
      <xdr:nvSpPr>
        <xdr:cNvPr id="32" name="Rechteck: abgerundete Ecken 31">
          <a:extLst>
            <a:ext uri="{FF2B5EF4-FFF2-40B4-BE49-F238E27FC236}">
              <a16:creationId xmlns:a16="http://schemas.microsoft.com/office/drawing/2014/main" id="{25EDA129-6C05-8C09-0E6D-E3059E3D4FD3}"/>
            </a:ext>
          </a:extLst>
        </xdr:cNvPr>
        <xdr:cNvSpPr/>
      </xdr:nvSpPr>
      <xdr:spPr>
        <a:xfrm>
          <a:off x="193183" y="1964420"/>
          <a:ext cx="4636264" cy="2431019"/>
        </a:xfrm>
        <a:prstGeom prst="roundRect">
          <a:avLst/>
        </a:prstGeom>
        <a:solidFill>
          <a:srgbClr val="764BA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1889760</xdr:colOff>
      <xdr:row>3</xdr:row>
      <xdr:rowOff>106680</xdr:rowOff>
    </xdr:from>
    <xdr:to>
      <xdr:col>4</xdr:col>
      <xdr:colOff>236220</xdr:colOff>
      <xdr:row>8</xdr:row>
      <xdr:rowOff>53340</xdr:rowOff>
    </xdr:to>
    <xdr:sp macro="" textlink="">
      <xdr:nvSpPr>
        <xdr:cNvPr id="20" name="Rounded Rectangle 14">
          <a:extLst>
            <a:ext uri="{FF2B5EF4-FFF2-40B4-BE49-F238E27FC236}">
              <a16:creationId xmlns:a16="http://schemas.microsoft.com/office/drawing/2014/main" id="{BE5F099F-0D9C-4BDA-835B-3C4975C33728}"/>
            </a:ext>
          </a:extLst>
        </xdr:cNvPr>
        <xdr:cNvSpPr/>
      </xdr:nvSpPr>
      <xdr:spPr>
        <a:xfrm>
          <a:off x="2788920" y="807720"/>
          <a:ext cx="1394460" cy="93726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281940</xdr:colOff>
      <xdr:row>3</xdr:row>
      <xdr:rowOff>106680</xdr:rowOff>
    </xdr:from>
    <xdr:to>
      <xdr:col>5</xdr:col>
      <xdr:colOff>556260</xdr:colOff>
      <xdr:row>8</xdr:row>
      <xdr:rowOff>76200</xdr:rowOff>
    </xdr:to>
    <xdr:sp macro="" textlink="">
      <xdr:nvSpPr>
        <xdr:cNvPr id="23" name="Rounded Rectangle 14">
          <a:extLst>
            <a:ext uri="{FF2B5EF4-FFF2-40B4-BE49-F238E27FC236}">
              <a16:creationId xmlns:a16="http://schemas.microsoft.com/office/drawing/2014/main" id="{823C686C-9556-4999-A5CF-C77C8BA81709}"/>
            </a:ext>
          </a:extLst>
        </xdr:cNvPr>
        <xdr:cNvSpPr/>
      </xdr:nvSpPr>
      <xdr:spPr>
        <a:xfrm>
          <a:off x="4229100" y="807720"/>
          <a:ext cx="1356360" cy="96012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624840</xdr:colOff>
      <xdr:row>3</xdr:row>
      <xdr:rowOff>106680</xdr:rowOff>
    </xdr:from>
    <xdr:to>
      <xdr:col>7</xdr:col>
      <xdr:colOff>274320</xdr:colOff>
      <xdr:row>8</xdr:row>
      <xdr:rowOff>83820</xdr:rowOff>
    </xdr:to>
    <xdr:sp macro="" textlink="">
      <xdr:nvSpPr>
        <xdr:cNvPr id="14" name="Rounded Rectangle 14">
          <a:extLst>
            <a:ext uri="{FF2B5EF4-FFF2-40B4-BE49-F238E27FC236}">
              <a16:creationId xmlns:a16="http://schemas.microsoft.com/office/drawing/2014/main" id="{75248B84-C25C-4716-9E95-00FA20E50008}"/>
            </a:ext>
          </a:extLst>
        </xdr:cNvPr>
        <xdr:cNvSpPr/>
      </xdr:nvSpPr>
      <xdr:spPr>
        <a:xfrm>
          <a:off x="5654040" y="807720"/>
          <a:ext cx="1356360" cy="96774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327660</xdr:colOff>
      <xdr:row>3</xdr:row>
      <xdr:rowOff>99060</xdr:rowOff>
    </xdr:from>
    <xdr:to>
      <xdr:col>8</xdr:col>
      <xdr:colOff>670560</xdr:colOff>
      <xdr:row>8</xdr:row>
      <xdr:rowOff>83820</xdr:rowOff>
    </xdr:to>
    <xdr:sp macro="" textlink="">
      <xdr:nvSpPr>
        <xdr:cNvPr id="11" name="Rounded Rectangle 14">
          <a:extLst>
            <a:ext uri="{FF2B5EF4-FFF2-40B4-BE49-F238E27FC236}">
              <a16:creationId xmlns:a16="http://schemas.microsoft.com/office/drawing/2014/main" id="{C77AFBA7-DE4A-49E1-A630-709EFA8556C5}"/>
            </a:ext>
          </a:extLst>
        </xdr:cNvPr>
        <xdr:cNvSpPr/>
      </xdr:nvSpPr>
      <xdr:spPr>
        <a:xfrm>
          <a:off x="7063740" y="800100"/>
          <a:ext cx="1356360" cy="97536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251460</xdr:colOff>
      <xdr:row>0</xdr:row>
      <xdr:rowOff>22860</xdr:rowOff>
    </xdr:from>
    <xdr:to>
      <xdr:col>12</xdr:col>
      <xdr:colOff>38100</xdr:colOff>
      <xdr:row>3</xdr:row>
      <xdr:rowOff>15240</xdr:rowOff>
    </xdr:to>
    <xdr:sp macro="" textlink="">
      <xdr:nvSpPr>
        <xdr:cNvPr id="4" name="Rounded Rectangle 14">
          <a:extLst>
            <a:ext uri="{FF2B5EF4-FFF2-40B4-BE49-F238E27FC236}">
              <a16:creationId xmlns:a16="http://schemas.microsoft.com/office/drawing/2014/main" id="{EA239D83-9FA7-40EE-8460-CA8D36351B22}"/>
            </a:ext>
          </a:extLst>
        </xdr:cNvPr>
        <xdr:cNvSpPr/>
      </xdr:nvSpPr>
      <xdr:spPr>
        <a:xfrm>
          <a:off x="251460" y="22860"/>
          <a:ext cx="13373100" cy="69342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4000" b="1">
              <a:solidFill>
                <a:schemeClr val="lt1"/>
              </a:solidFill>
              <a:latin typeface="+mn-lt"/>
              <a:ea typeface="+mn-ea"/>
              <a:cs typeface="+mn-cs"/>
            </a:rPr>
            <a:t>TASK TRACKER</a:t>
          </a:r>
        </a:p>
      </xdr:txBody>
    </xdr:sp>
    <xdr:clientData/>
  </xdr:twoCellAnchor>
  <xdr:twoCellAnchor>
    <xdr:from>
      <xdr:col>1</xdr:col>
      <xdr:colOff>7620</xdr:colOff>
      <xdr:row>3</xdr:row>
      <xdr:rowOff>99060</xdr:rowOff>
    </xdr:from>
    <xdr:to>
      <xdr:col>2</xdr:col>
      <xdr:colOff>1828800</xdr:colOff>
      <xdr:row>8</xdr:row>
      <xdr:rowOff>38100</xdr:rowOff>
    </xdr:to>
    <xdr:sp macro="" textlink="">
      <xdr:nvSpPr>
        <xdr:cNvPr id="7" name="Rounded Rectangle 14">
          <a:extLst>
            <a:ext uri="{FF2B5EF4-FFF2-40B4-BE49-F238E27FC236}">
              <a16:creationId xmlns:a16="http://schemas.microsoft.com/office/drawing/2014/main" id="{CAF223A9-8F69-4C1E-A0C7-4B3F8E203984}"/>
            </a:ext>
          </a:extLst>
        </xdr:cNvPr>
        <xdr:cNvSpPr/>
      </xdr:nvSpPr>
      <xdr:spPr>
        <a:xfrm>
          <a:off x="274320" y="800100"/>
          <a:ext cx="2453640" cy="92964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541020</xdr:colOff>
      <xdr:row>5</xdr:row>
      <xdr:rowOff>175260</xdr:rowOff>
    </xdr:from>
    <xdr:to>
      <xdr:col>8</xdr:col>
      <xdr:colOff>403860</xdr:colOff>
      <xdr:row>7</xdr:row>
      <xdr:rowOff>99060</xdr:rowOff>
    </xdr:to>
    <xdr:sp macro="" textlink="'Support Sheet'!C3">
      <xdr:nvSpPr>
        <xdr:cNvPr id="10" name="Textfeld 9">
          <a:extLst>
            <a:ext uri="{FF2B5EF4-FFF2-40B4-BE49-F238E27FC236}">
              <a16:creationId xmlns:a16="http://schemas.microsoft.com/office/drawing/2014/main" id="{CD90658D-0C8B-466F-8E08-61EA49D57F1C}"/>
            </a:ext>
          </a:extLst>
        </xdr:cNvPr>
        <xdr:cNvSpPr txBox="1"/>
      </xdr:nvSpPr>
      <xdr:spPr>
        <a:xfrm>
          <a:off x="7277100" y="1272540"/>
          <a:ext cx="8763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933D323-A6B3-42D2-9F56-7F61DC893457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pPr algn="ctr"/>
            <a:t>6</a:t>
          </a:fld>
          <a:endParaRPr lang="de-DE" sz="1600" b="1"/>
        </a:p>
      </xdr:txBody>
    </xdr:sp>
    <xdr:clientData/>
  </xdr:twoCellAnchor>
  <xdr:twoCellAnchor>
    <xdr:from>
      <xdr:col>7</xdr:col>
      <xdr:colOff>373380</xdr:colOff>
      <xdr:row>4</xdr:row>
      <xdr:rowOff>22860</xdr:rowOff>
    </xdr:from>
    <xdr:to>
      <xdr:col>8</xdr:col>
      <xdr:colOff>533400</xdr:colOff>
      <xdr:row>5</xdr:row>
      <xdr:rowOff>83820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5C1FDE50-4CA8-6571-962F-7569A35025E9}"/>
            </a:ext>
          </a:extLst>
        </xdr:cNvPr>
        <xdr:cNvSpPr txBox="1"/>
      </xdr:nvSpPr>
      <xdr:spPr>
        <a:xfrm>
          <a:off x="7109460" y="922020"/>
          <a:ext cx="117348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 b="1"/>
            <a:t>Completed</a:t>
          </a:r>
          <a:endParaRPr lang="de-DE" sz="1200" b="1"/>
        </a:p>
      </xdr:txBody>
    </xdr:sp>
    <xdr:clientData/>
  </xdr:twoCellAnchor>
  <xdr:twoCellAnchor>
    <xdr:from>
      <xdr:col>2</xdr:col>
      <xdr:colOff>1744980</xdr:colOff>
      <xdr:row>4</xdr:row>
      <xdr:rowOff>7620</xdr:rowOff>
    </xdr:from>
    <xdr:to>
      <xdr:col>4</xdr:col>
      <xdr:colOff>388620</xdr:colOff>
      <xdr:row>5</xdr:row>
      <xdr:rowOff>68580</xdr:rowOff>
    </xdr:to>
    <xdr:sp macro="" textlink="">
      <xdr:nvSpPr>
        <xdr:cNvPr id="15" name="Textfeld 14">
          <a:extLst>
            <a:ext uri="{FF2B5EF4-FFF2-40B4-BE49-F238E27FC236}">
              <a16:creationId xmlns:a16="http://schemas.microsoft.com/office/drawing/2014/main" id="{959481D7-B494-48B5-8CC8-5593D93BC045}"/>
            </a:ext>
          </a:extLst>
        </xdr:cNvPr>
        <xdr:cNvSpPr txBox="1"/>
      </xdr:nvSpPr>
      <xdr:spPr>
        <a:xfrm>
          <a:off x="2644140" y="906780"/>
          <a:ext cx="169164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 b="1"/>
            <a:t>Total Tasks</a:t>
          </a:r>
          <a:endParaRPr lang="de-DE" sz="1200" b="1"/>
        </a:p>
      </xdr:txBody>
    </xdr:sp>
    <xdr:clientData/>
  </xdr:twoCellAnchor>
  <xdr:twoCellAnchor>
    <xdr:from>
      <xdr:col>1</xdr:col>
      <xdr:colOff>449580</xdr:colOff>
      <xdr:row>5</xdr:row>
      <xdr:rowOff>144780</xdr:rowOff>
    </xdr:from>
    <xdr:to>
      <xdr:col>2</xdr:col>
      <xdr:colOff>1280160</xdr:colOff>
      <xdr:row>7</xdr:row>
      <xdr:rowOff>76200</xdr:rowOff>
    </xdr:to>
    <xdr:sp macro="" textlink="'Support Sheet'!P3">
      <xdr:nvSpPr>
        <xdr:cNvPr id="16" name="Textfeld 15">
          <a:extLst>
            <a:ext uri="{FF2B5EF4-FFF2-40B4-BE49-F238E27FC236}">
              <a16:creationId xmlns:a16="http://schemas.microsoft.com/office/drawing/2014/main" id="{592610D0-EBCD-41B5-B2CE-89DEA3824B2C}"/>
            </a:ext>
          </a:extLst>
        </xdr:cNvPr>
        <xdr:cNvSpPr txBox="1"/>
      </xdr:nvSpPr>
      <xdr:spPr>
        <a:xfrm>
          <a:off x="716280" y="1242060"/>
          <a:ext cx="14630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A026971-260A-4183-9DDC-3F3CDC23B536}" type="TxLink">
            <a:rPr lang="en-US" sz="1600" b="0" i="0" u="none" strike="noStrike">
              <a:solidFill>
                <a:srgbClr val="000000"/>
              </a:solidFill>
              <a:latin typeface="Aptos Narrow"/>
            </a:rPr>
            <a:t>13.03.2026</a:t>
          </a:fld>
          <a:endParaRPr lang="en-US" sz="3200" b="1"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739140</xdr:colOff>
      <xdr:row>3</xdr:row>
      <xdr:rowOff>106680</xdr:rowOff>
    </xdr:from>
    <xdr:to>
      <xdr:col>10</xdr:col>
      <xdr:colOff>342900</xdr:colOff>
      <xdr:row>8</xdr:row>
      <xdr:rowOff>91440</xdr:rowOff>
    </xdr:to>
    <xdr:sp macro="" textlink="">
      <xdr:nvSpPr>
        <xdr:cNvPr id="17" name="Rounded Rectangle 14">
          <a:extLst>
            <a:ext uri="{FF2B5EF4-FFF2-40B4-BE49-F238E27FC236}">
              <a16:creationId xmlns:a16="http://schemas.microsoft.com/office/drawing/2014/main" id="{B9FD6361-954B-410E-9843-414762D54834}"/>
            </a:ext>
          </a:extLst>
        </xdr:cNvPr>
        <xdr:cNvSpPr/>
      </xdr:nvSpPr>
      <xdr:spPr>
        <a:xfrm>
          <a:off x="8488680" y="807720"/>
          <a:ext cx="1386840" cy="97536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358140</xdr:colOff>
      <xdr:row>4</xdr:row>
      <xdr:rowOff>7620</xdr:rowOff>
    </xdr:from>
    <xdr:to>
      <xdr:col>5</xdr:col>
      <xdr:colOff>419100</xdr:colOff>
      <xdr:row>5</xdr:row>
      <xdr:rowOff>68580</xdr:rowOff>
    </xdr:to>
    <xdr:sp macro="" textlink="">
      <xdr:nvSpPr>
        <xdr:cNvPr id="21" name="Textfeld 20">
          <a:extLst>
            <a:ext uri="{FF2B5EF4-FFF2-40B4-BE49-F238E27FC236}">
              <a16:creationId xmlns:a16="http://schemas.microsoft.com/office/drawing/2014/main" id="{58063B9A-1843-4845-BAA1-C8B9AB2D0305}"/>
            </a:ext>
          </a:extLst>
        </xdr:cNvPr>
        <xdr:cNvSpPr txBox="1"/>
      </xdr:nvSpPr>
      <xdr:spPr>
        <a:xfrm>
          <a:off x="4305300" y="906780"/>
          <a:ext cx="11430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 b="1"/>
            <a:t>Due Today</a:t>
          </a:r>
          <a:endParaRPr lang="de-DE" sz="1200" b="1"/>
        </a:p>
      </xdr:txBody>
    </xdr:sp>
    <xdr:clientData/>
  </xdr:twoCellAnchor>
  <xdr:twoCellAnchor>
    <xdr:from>
      <xdr:col>4</xdr:col>
      <xdr:colOff>464820</xdr:colOff>
      <xdr:row>5</xdr:row>
      <xdr:rowOff>152400</xdr:rowOff>
    </xdr:from>
    <xdr:to>
      <xdr:col>5</xdr:col>
      <xdr:colOff>259080</xdr:colOff>
      <xdr:row>7</xdr:row>
      <xdr:rowOff>114300</xdr:rowOff>
    </xdr:to>
    <xdr:sp macro="" textlink="'Support Sheet'!N3">
      <xdr:nvSpPr>
        <xdr:cNvPr id="22" name="Textfeld 21">
          <a:extLst>
            <a:ext uri="{FF2B5EF4-FFF2-40B4-BE49-F238E27FC236}">
              <a16:creationId xmlns:a16="http://schemas.microsoft.com/office/drawing/2014/main" id="{DF6BDBD6-9083-4B57-B24F-59FD92F7E49B}"/>
            </a:ext>
          </a:extLst>
        </xdr:cNvPr>
        <xdr:cNvSpPr txBox="1"/>
      </xdr:nvSpPr>
      <xdr:spPr>
        <a:xfrm>
          <a:off x="4411980" y="1249680"/>
          <a:ext cx="87630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9A8C14C-5034-49DB-A417-59C2F0142593}" type="TxLink">
            <a:rPr lang="en-US" sz="2000" b="0" i="0" u="none" strike="noStrike">
              <a:solidFill>
                <a:srgbClr val="C00000"/>
              </a:solidFill>
              <a:latin typeface="Aptos Narrow"/>
            </a:rPr>
            <a:pPr algn="ctr"/>
            <a:t>0</a:t>
          </a:fld>
          <a:endParaRPr lang="en-US" sz="2400" b="1" i="0" u="none" strike="noStrike">
            <a:solidFill>
              <a:srgbClr val="C00000"/>
            </a:solidFill>
            <a:latin typeface="Aptos Narrow"/>
          </a:endParaRPr>
        </a:p>
      </xdr:txBody>
    </xdr:sp>
    <xdr:clientData/>
  </xdr:twoCellAnchor>
  <xdr:twoCellAnchor>
    <xdr:from>
      <xdr:col>9</xdr:col>
      <xdr:colOff>99060</xdr:colOff>
      <xdr:row>5</xdr:row>
      <xdr:rowOff>175260</xdr:rowOff>
    </xdr:from>
    <xdr:to>
      <xdr:col>10</xdr:col>
      <xdr:colOff>121920</xdr:colOff>
      <xdr:row>7</xdr:row>
      <xdr:rowOff>76200</xdr:rowOff>
    </xdr:to>
    <xdr:sp macro="" textlink="'Support Sheet'!C4">
      <xdr:nvSpPr>
        <xdr:cNvPr id="13" name="Textfeld 12">
          <a:extLst>
            <a:ext uri="{FF2B5EF4-FFF2-40B4-BE49-F238E27FC236}">
              <a16:creationId xmlns:a16="http://schemas.microsoft.com/office/drawing/2014/main" id="{9273EB48-9D25-4DE8-9D30-380CA9414F3C}"/>
            </a:ext>
          </a:extLst>
        </xdr:cNvPr>
        <xdr:cNvSpPr txBox="1"/>
      </xdr:nvSpPr>
      <xdr:spPr>
        <a:xfrm>
          <a:off x="8778240" y="1272540"/>
          <a:ext cx="8763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FB910DB-98F4-4114-A805-1F39A93E8EBD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pPr algn="ctr"/>
            <a:t>7</a:t>
          </a:fld>
          <a:endParaRPr lang="de-DE" sz="1600" b="1"/>
        </a:p>
      </xdr:txBody>
    </xdr:sp>
    <xdr:clientData/>
  </xdr:twoCellAnchor>
  <xdr:twoCellAnchor>
    <xdr:from>
      <xdr:col>5</xdr:col>
      <xdr:colOff>739140</xdr:colOff>
      <xdr:row>4</xdr:row>
      <xdr:rowOff>22860</xdr:rowOff>
    </xdr:from>
    <xdr:to>
      <xdr:col>7</xdr:col>
      <xdr:colOff>121920</xdr:colOff>
      <xdr:row>5</xdr:row>
      <xdr:rowOff>121920</xdr:rowOff>
    </xdr:to>
    <xdr:sp macro="" textlink="">
      <xdr:nvSpPr>
        <xdr:cNvPr id="24" name="Textfeld 23">
          <a:extLst>
            <a:ext uri="{FF2B5EF4-FFF2-40B4-BE49-F238E27FC236}">
              <a16:creationId xmlns:a16="http://schemas.microsoft.com/office/drawing/2014/main" id="{6685DB77-EB5B-4973-B6B8-44BDF5E4935C}"/>
            </a:ext>
          </a:extLst>
        </xdr:cNvPr>
        <xdr:cNvSpPr txBox="1"/>
      </xdr:nvSpPr>
      <xdr:spPr>
        <a:xfrm>
          <a:off x="5768340" y="922020"/>
          <a:ext cx="108966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 b="1"/>
            <a:t>Overdue</a:t>
          </a:r>
          <a:endParaRPr lang="de-DE" sz="1200" b="1"/>
        </a:p>
      </xdr:txBody>
    </xdr:sp>
    <xdr:clientData/>
  </xdr:twoCellAnchor>
  <xdr:twoCellAnchor>
    <xdr:from>
      <xdr:col>6</xdr:col>
      <xdr:colOff>0</xdr:colOff>
      <xdr:row>5</xdr:row>
      <xdr:rowOff>167640</xdr:rowOff>
    </xdr:from>
    <xdr:to>
      <xdr:col>7</xdr:col>
      <xdr:colOff>22860</xdr:colOff>
      <xdr:row>7</xdr:row>
      <xdr:rowOff>137160</xdr:rowOff>
    </xdr:to>
    <xdr:sp macro="" textlink="'Support Sheet'!K3">
      <xdr:nvSpPr>
        <xdr:cNvPr id="25" name="Textfeld 24">
          <a:extLst>
            <a:ext uri="{FF2B5EF4-FFF2-40B4-BE49-F238E27FC236}">
              <a16:creationId xmlns:a16="http://schemas.microsoft.com/office/drawing/2014/main" id="{10F4E44E-FD0C-42DE-8EAC-684408420840}"/>
            </a:ext>
          </a:extLst>
        </xdr:cNvPr>
        <xdr:cNvSpPr txBox="1"/>
      </xdr:nvSpPr>
      <xdr:spPr>
        <a:xfrm>
          <a:off x="5882640" y="1264920"/>
          <a:ext cx="876300" cy="365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7F0C6AB-C4F7-4CAD-8CEB-FC7394B8936D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t>6</a:t>
          </a:fld>
          <a:endParaRPr lang="en-US" sz="4000" b="1" i="0" u="none" strike="noStrike">
            <a:solidFill>
              <a:srgbClr val="C00000"/>
            </a:solidFill>
            <a:latin typeface="Aptos Narrow"/>
          </a:endParaRPr>
        </a:p>
      </xdr:txBody>
    </xdr:sp>
    <xdr:clientData/>
  </xdr:twoCellAnchor>
  <xdr:twoCellAnchor>
    <xdr:from>
      <xdr:col>5</xdr:col>
      <xdr:colOff>166430</xdr:colOff>
      <xdr:row>9</xdr:row>
      <xdr:rowOff>175291</xdr:rowOff>
    </xdr:from>
    <xdr:to>
      <xdr:col>9</xdr:col>
      <xdr:colOff>661871</xdr:colOff>
      <xdr:row>21</xdr:row>
      <xdr:rowOff>26587</xdr:rowOff>
    </xdr:to>
    <xdr:graphicFrame macro="">
      <xdr:nvGraphicFramePr>
        <xdr:cNvPr id="26" name="Diagramm 25">
          <a:extLst>
            <a:ext uri="{FF2B5EF4-FFF2-40B4-BE49-F238E27FC236}">
              <a16:creationId xmlns:a16="http://schemas.microsoft.com/office/drawing/2014/main" id="{301C72B4-48E3-4FEA-906A-F75B64E04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419100</xdr:colOff>
      <xdr:row>3</xdr:row>
      <xdr:rowOff>114300</xdr:rowOff>
    </xdr:from>
    <xdr:to>
      <xdr:col>10</xdr:col>
      <xdr:colOff>1805940</xdr:colOff>
      <xdr:row>8</xdr:row>
      <xdr:rowOff>99060</xdr:rowOff>
    </xdr:to>
    <xdr:sp macro="" textlink="">
      <xdr:nvSpPr>
        <xdr:cNvPr id="27" name="Rounded Rectangle 14">
          <a:extLst>
            <a:ext uri="{FF2B5EF4-FFF2-40B4-BE49-F238E27FC236}">
              <a16:creationId xmlns:a16="http://schemas.microsoft.com/office/drawing/2014/main" id="{EE8BC651-0475-4471-9F7A-03860D9F7DDD}"/>
            </a:ext>
          </a:extLst>
        </xdr:cNvPr>
        <xdr:cNvSpPr/>
      </xdr:nvSpPr>
      <xdr:spPr>
        <a:xfrm>
          <a:off x="9951720" y="815340"/>
          <a:ext cx="1386840" cy="975360"/>
        </a:xfrm>
        <a:prstGeom prst="roundRect">
          <a:avLst>
            <a:gd name="adj" fmla="val 10985"/>
          </a:avLst>
        </a:prstGeom>
        <a:gradFill>
          <a:gsLst>
            <a:gs pos="17000">
              <a:srgbClr val="667EEA"/>
            </a:gs>
            <a:gs pos="100000">
              <a:srgbClr val="764BA2"/>
            </a:gs>
          </a:gsLst>
          <a:lin ang="3600000" scaled="0"/>
        </a:gra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480060</xdr:colOff>
      <xdr:row>4</xdr:row>
      <xdr:rowOff>15240</xdr:rowOff>
    </xdr:from>
    <xdr:to>
      <xdr:col>10</xdr:col>
      <xdr:colOff>1775460</xdr:colOff>
      <xdr:row>5</xdr:row>
      <xdr:rowOff>76200</xdr:rowOff>
    </xdr:to>
    <xdr:sp macro="" textlink="">
      <xdr:nvSpPr>
        <xdr:cNvPr id="18" name="Textfeld 17">
          <a:extLst>
            <a:ext uri="{FF2B5EF4-FFF2-40B4-BE49-F238E27FC236}">
              <a16:creationId xmlns:a16="http://schemas.microsoft.com/office/drawing/2014/main" id="{6A5C47E9-7D2D-47F8-85AD-656C7B1B7D6A}"/>
            </a:ext>
          </a:extLst>
        </xdr:cNvPr>
        <xdr:cNvSpPr txBox="1"/>
      </xdr:nvSpPr>
      <xdr:spPr>
        <a:xfrm>
          <a:off x="10012680" y="914400"/>
          <a:ext cx="12954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 b="1"/>
            <a:t>Not Started</a:t>
          </a:r>
          <a:endParaRPr lang="de-DE" sz="1200" b="1"/>
        </a:p>
      </xdr:txBody>
    </xdr:sp>
    <xdr:clientData/>
  </xdr:twoCellAnchor>
  <xdr:twoCellAnchor>
    <xdr:from>
      <xdr:col>10</xdr:col>
      <xdr:colOff>678180</xdr:colOff>
      <xdr:row>5</xdr:row>
      <xdr:rowOff>160020</xdr:rowOff>
    </xdr:from>
    <xdr:to>
      <xdr:col>10</xdr:col>
      <xdr:colOff>1554480</xdr:colOff>
      <xdr:row>7</xdr:row>
      <xdr:rowOff>60960</xdr:rowOff>
    </xdr:to>
    <xdr:sp macro="" textlink="'Support Sheet'!C5">
      <xdr:nvSpPr>
        <xdr:cNvPr id="19" name="Textfeld 18">
          <a:extLst>
            <a:ext uri="{FF2B5EF4-FFF2-40B4-BE49-F238E27FC236}">
              <a16:creationId xmlns:a16="http://schemas.microsoft.com/office/drawing/2014/main" id="{9B63CB30-FD66-4CE1-A79D-2BBDD5CCF361}"/>
            </a:ext>
          </a:extLst>
        </xdr:cNvPr>
        <xdr:cNvSpPr txBox="1"/>
      </xdr:nvSpPr>
      <xdr:spPr>
        <a:xfrm>
          <a:off x="10210800" y="1257300"/>
          <a:ext cx="876300" cy="2971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E39AD09-58B5-49B9-926E-612D81C812E3}" type="TxLink">
            <a:rPr lang="en-US" sz="1800" b="1" i="0" u="none" strike="noStrike">
              <a:solidFill>
                <a:srgbClr val="000000"/>
              </a:solidFill>
              <a:latin typeface="Aptos Narrow"/>
            </a:rPr>
            <a:t>2</a:t>
          </a:fld>
          <a:endParaRPr lang="de-DE" sz="1800" b="1"/>
        </a:p>
      </xdr:txBody>
    </xdr:sp>
    <xdr:clientData/>
  </xdr:twoCellAnchor>
  <xdr:twoCellAnchor>
    <xdr:from>
      <xdr:col>8</xdr:col>
      <xdr:colOff>807720</xdr:colOff>
      <xdr:row>4</xdr:row>
      <xdr:rowOff>15240</xdr:rowOff>
    </xdr:from>
    <xdr:to>
      <xdr:col>10</xdr:col>
      <xdr:colOff>167640</xdr:colOff>
      <xdr:row>5</xdr:row>
      <xdr:rowOff>144780</xdr:rowOff>
    </xdr:to>
    <xdr:sp macro="" textlink="">
      <xdr:nvSpPr>
        <xdr:cNvPr id="12" name="Textfeld 11">
          <a:extLst>
            <a:ext uri="{FF2B5EF4-FFF2-40B4-BE49-F238E27FC236}">
              <a16:creationId xmlns:a16="http://schemas.microsoft.com/office/drawing/2014/main" id="{D8EECCDE-7FE9-489A-A203-D60022B36AFF}"/>
            </a:ext>
          </a:extLst>
        </xdr:cNvPr>
        <xdr:cNvSpPr txBox="1"/>
      </xdr:nvSpPr>
      <xdr:spPr>
        <a:xfrm>
          <a:off x="8557260" y="914400"/>
          <a:ext cx="114300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DE" sz="1600" b="1"/>
            <a:t>In Progress</a:t>
          </a:r>
          <a:endParaRPr lang="de-DE" sz="1200" b="1"/>
        </a:p>
      </xdr:txBody>
    </xdr:sp>
    <xdr:clientData/>
  </xdr:twoCellAnchor>
  <xdr:twoCellAnchor>
    <xdr:from>
      <xdr:col>1</xdr:col>
      <xdr:colOff>434340</xdr:colOff>
      <xdr:row>3</xdr:row>
      <xdr:rowOff>182880</xdr:rowOff>
    </xdr:from>
    <xdr:to>
      <xdr:col>2</xdr:col>
      <xdr:colOff>1264920</xdr:colOff>
      <xdr:row>5</xdr:row>
      <xdr:rowOff>114300</xdr:rowOff>
    </xdr:to>
    <xdr:sp macro="" textlink="">
      <xdr:nvSpPr>
        <xdr:cNvPr id="29" name="Textfeld 28">
          <a:extLst>
            <a:ext uri="{FF2B5EF4-FFF2-40B4-BE49-F238E27FC236}">
              <a16:creationId xmlns:a16="http://schemas.microsoft.com/office/drawing/2014/main" id="{05F748A6-02CF-4883-AEAF-FC3679B82B19}"/>
            </a:ext>
          </a:extLst>
        </xdr:cNvPr>
        <xdr:cNvSpPr txBox="1"/>
      </xdr:nvSpPr>
      <xdr:spPr>
        <a:xfrm>
          <a:off x="701040" y="883920"/>
          <a:ext cx="14630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i="0" u="none" strike="noStrike">
              <a:solidFill>
                <a:srgbClr val="000000"/>
              </a:solidFill>
              <a:latin typeface="Aptos Narrow"/>
            </a:rPr>
            <a:t>TODAY'S</a:t>
          </a:r>
          <a:r>
            <a:rPr lang="en-US" sz="1600" b="1" i="0" u="none" strike="noStrike" baseline="0">
              <a:solidFill>
                <a:srgbClr val="000000"/>
              </a:solidFill>
              <a:latin typeface="Aptos Narrow"/>
            </a:rPr>
            <a:t> DATE</a:t>
          </a:r>
          <a:endParaRPr lang="en-US" sz="1600" b="1" i="0" u="none" strike="noStrike">
            <a:solidFill>
              <a:srgbClr val="000000"/>
            </a:solidFill>
            <a:latin typeface="Aptos Narrow"/>
          </a:endParaRPr>
        </a:p>
      </xdr:txBody>
    </xdr:sp>
    <xdr:clientData/>
  </xdr:twoCellAnchor>
  <xdr:twoCellAnchor>
    <xdr:from>
      <xdr:col>2</xdr:col>
      <xdr:colOff>1851660</xdr:colOff>
      <xdr:row>6</xdr:row>
      <xdr:rowOff>7620</xdr:rowOff>
    </xdr:from>
    <xdr:to>
      <xdr:col>4</xdr:col>
      <xdr:colOff>266700</xdr:colOff>
      <xdr:row>7</xdr:row>
      <xdr:rowOff>137160</xdr:rowOff>
    </xdr:to>
    <xdr:sp macro="" textlink="'Support Sheet'!C6">
      <xdr:nvSpPr>
        <xdr:cNvPr id="30" name="Textfeld 29">
          <a:extLst>
            <a:ext uri="{FF2B5EF4-FFF2-40B4-BE49-F238E27FC236}">
              <a16:creationId xmlns:a16="http://schemas.microsoft.com/office/drawing/2014/main" id="{D63A3F9E-4F1A-4693-B18F-B0B3F1D985D3}"/>
            </a:ext>
          </a:extLst>
        </xdr:cNvPr>
        <xdr:cNvSpPr txBox="1"/>
      </xdr:nvSpPr>
      <xdr:spPr>
        <a:xfrm>
          <a:off x="2750820" y="1303020"/>
          <a:ext cx="1463040" cy="327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DE94AD7A-9A87-424F-83B9-924B6960C717}" type="TxLink">
            <a:rPr lang="en-US" sz="1600" b="1" i="0" u="none" strike="noStrike">
              <a:solidFill>
                <a:srgbClr val="000000"/>
              </a:solidFill>
              <a:latin typeface="Aptos Narrow"/>
            </a:rPr>
            <a:t>15</a:t>
          </a:fld>
          <a:endParaRPr lang="en-US" sz="3200" b="1"/>
        </a:p>
      </xdr:txBody>
    </xdr:sp>
    <xdr:clientData/>
  </xdr:twoCellAnchor>
  <xdr:twoCellAnchor>
    <xdr:from>
      <xdr:col>1</xdr:col>
      <xdr:colOff>36085</xdr:colOff>
      <xdr:row>9</xdr:row>
      <xdr:rowOff>115975</xdr:rowOff>
    </xdr:from>
    <xdr:to>
      <xdr:col>4</xdr:col>
      <xdr:colOff>930992</xdr:colOff>
      <xdr:row>22</xdr:row>
      <xdr:rowOff>82280</xdr:rowOff>
    </xdr:to>
    <xdr:graphicFrame macro="">
      <xdr:nvGraphicFramePr>
        <xdr:cNvPr id="31" name="Diagramm 30">
          <a:extLst>
            <a:ext uri="{FF2B5EF4-FFF2-40B4-BE49-F238E27FC236}">
              <a16:creationId xmlns:a16="http://schemas.microsoft.com/office/drawing/2014/main" id="{B0E22947-1E75-4B7D-88DE-B35836797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129887</xdr:colOff>
      <xdr:row>9</xdr:row>
      <xdr:rowOff>86591</xdr:rowOff>
    </xdr:from>
    <xdr:to>
      <xdr:col>12</xdr:col>
      <xdr:colOff>173182</xdr:colOff>
      <xdr:row>21</xdr:row>
      <xdr:rowOff>86591</xdr:rowOff>
    </xdr:to>
    <xdr:graphicFrame macro="">
      <xdr:nvGraphicFramePr>
        <xdr:cNvPr id="36" name="Diagramm 35">
          <a:extLst>
            <a:ext uri="{FF2B5EF4-FFF2-40B4-BE49-F238E27FC236}">
              <a16:creationId xmlns:a16="http://schemas.microsoft.com/office/drawing/2014/main" id="{AEBD1281-463D-4B4F-846E-6E03DB84F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A565C-E58D-E845-893A-5E7880C6E96F}">
  <dimension ref="A1:L40"/>
  <sheetViews>
    <sheetView showGridLines="0" tabSelected="1" zoomScale="79" zoomScaleNormal="88" workbookViewId="0">
      <selection activeCell="K6" sqref="K6"/>
    </sheetView>
  </sheetViews>
  <sheetFormatPr baseColWidth="10" defaultColWidth="11.19921875" defaultRowHeight="15.6" x14ac:dyDescent="0.3"/>
  <cols>
    <col min="1" max="1" width="3.5" customWidth="1"/>
    <col min="2" max="2" width="8.296875" style="1" customWidth="1"/>
    <col min="3" max="3" width="28.796875" customWidth="1"/>
    <col min="5" max="5" width="14.19921875" bestFit="1" customWidth="1"/>
    <col min="8" max="8" width="13.296875" customWidth="1"/>
    <col min="9" max="9" width="12.19921875" style="1" customWidth="1"/>
    <col min="11" max="11" width="42" customWidth="1"/>
    <col min="12" max="12" width="13.296875" customWidth="1"/>
  </cols>
  <sheetData>
    <row r="1" spans="1:4" ht="24" customHeight="1" x14ac:dyDescent="0.3">
      <c r="A1" s="10"/>
      <c r="B1" s="10"/>
      <c r="C1" s="10"/>
      <c r="D1" s="11"/>
    </row>
    <row r="2" spans="1:4" x14ac:dyDescent="0.3">
      <c r="A2" s="9"/>
      <c r="B2" s="10"/>
      <c r="C2" s="10"/>
      <c r="D2" s="11"/>
    </row>
    <row r="3" spans="1:4" x14ac:dyDescent="0.3">
      <c r="A3" s="12"/>
      <c r="B3" s="13"/>
      <c r="C3" s="13"/>
    </row>
    <row r="4" spans="1:4" x14ac:dyDescent="0.3">
      <c r="B4" s="2"/>
      <c r="C4" s="8"/>
    </row>
    <row r="5" spans="1:4" x14ac:dyDescent="0.3">
      <c r="D5" s="11"/>
    </row>
    <row r="25" spans="2:12" x14ac:dyDescent="0.3">
      <c r="B25" s="14" t="s">
        <v>1</v>
      </c>
      <c r="C25" s="14" t="s">
        <v>0</v>
      </c>
      <c r="D25" s="14" t="s">
        <v>70</v>
      </c>
      <c r="E25" s="14" t="s">
        <v>6</v>
      </c>
      <c r="F25" s="14" t="s">
        <v>2</v>
      </c>
      <c r="G25" s="14" t="s">
        <v>3</v>
      </c>
      <c r="H25" s="14" t="s">
        <v>11</v>
      </c>
      <c r="I25" s="14" t="s">
        <v>4</v>
      </c>
      <c r="J25" s="14" t="s">
        <v>5</v>
      </c>
      <c r="K25" s="14" t="s">
        <v>7</v>
      </c>
      <c r="L25" s="14" t="s">
        <v>71</v>
      </c>
    </row>
    <row r="26" spans="2:12" x14ac:dyDescent="0.3">
      <c r="B26" s="1" t="s">
        <v>13</v>
      </c>
      <c r="C26" t="s">
        <v>14</v>
      </c>
      <c r="D26" t="s">
        <v>65</v>
      </c>
      <c r="E26" t="s">
        <v>15</v>
      </c>
      <c r="F26" s="2">
        <v>46055</v>
      </c>
      <c r="G26" s="2">
        <v>46073</v>
      </c>
      <c r="H26" s="5">
        <f>G26-F26</f>
        <v>18</v>
      </c>
      <c r="I26" s="1" t="s">
        <v>16</v>
      </c>
      <c r="J26" s="1" t="b">
        <f ca="1">AND(I26&lt;&gt;"Completed",G26&lt;TODAY())</f>
        <v>0</v>
      </c>
      <c r="K26" t="s">
        <v>17</v>
      </c>
      <c r="L26" t="s">
        <v>72</v>
      </c>
    </row>
    <row r="27" spans="2:12" x14ac:dyDescent="0.3">
      <c r="B27" s="1" t="s">
        <v>18</v>
      </c>
      <c r="C27" t="s">
        <v>62</v>
      </c>
      <c r="D27" t="s">
        <v>57</v>
      </c>
      <c r="E27" t="s">
        <v>15</v>
      </c>
      <c r="F27" s="2">
        <v>46056</v>
      </c>
      <c r="G27" s="2">
        <v>46076</v>
      </c>
      <c r="H27" s="5">
        <f t="shared" ref="H27:H40" si="0">G27-F27</f>
        <v>20</v>
      </c>
      <c r="I27" s="1" t="s">
        <v>16</v>
      </c>
      <c r="J27" s="1" t="b">
        <f t="shared" ref="J27:J40" ca="1" si="1">AND(I27&lt;&gt;"Completed",G27 &lt; TODAY())</f>
        <v>0</v>
      </c>
      <c r="K27" t="s">
        <v>20</v>
      </c>
      <c r="L27" s="7" t="s">
        <v>73</v>
      </c>
    </row>
    <row r="28" spans="2:12" x14ac:dyDescent="0.3">
      <c r="B28" s="1" t="s">
        <v>21</v>
      </c>
      <c r="C28" t="s">
        <v>22</v>
      </c>
      <c r="D28" t="s">
        <v>57</v>
      </c>
      <c r="E28" t="s">
        <v>19</v>
      </c>
      <c r="F28" s="2">
        <v>46060</v>
      </c>
      <c r="G28" s="2">
        <v>46081</v>
      </c>
      <c r="H28" s="5">
        <f t="shared" si="0"/>
        <v>21</v>
      </c>
      <c r="I28" s="1" t="s">
        <v>8</v>
      </c>
      <c r="J28" s="1" t="b">
        <f ca="1">AND(I28&lt;&gt;"Completed",G28 &lt; TODAY())</f>
        <v>1</v>
      </c>
      <c r="K28" t="s">
        <v>23</v>
      </c>
      <c r="L28" t="s">
        <v>74</v>
      </c>
    </row>
    <row r="29" spans="2:12" x14ac:dyDescent="0.3">
      <c r="B29" s="1" t="s">
        <v>24</v>
      </c>
      <c r="C29" t="s">
        <v>25</v>
      </c>
      <c r="D29" t="s">
        <v>65</v>
      </c>
      <c r="E29" t="s">
        <v>15</v>
      </c>
      <c r="F29" s="2">
        <v>46065</v>
      </c>
      <c r="G29" s="2">
        <v>46081</v>
      </c>
      <c r="H29" s="5">
        <f t="shared" si="0"/>
        <v>16</v>
      </c>
      <c r="I29" s="1" t="s">
        <v>16</v>
      </c>
      <c r="J29" s="1" t="b">
        <f t="shared" ca="1" si="1"/>
        <v>0</v>
      </c>
      <c r="K29" t="s">
        <v>27</v>
      </c>
      <c r="L29" t="s">
        <v>74</v>
      </c>
    </row>
    <row r="30" spans="2:12" x14ac:dyDescent="0.3">
      <c r="B30" s="1" t="s">
        <v>28</v>
      </c>
      <c r="C30" t="s">
        <v>29</v>
      </c>
      <c r="D30" t="s">
        <v>57</v>
      </c>
      <c r="E30" t="s">
        <v>26</v>
      </c>
      <c r="F30" s="2">
        <v>46071</v>
      </c>
      <c r="G30" s="2">
        <v>46081</v>
      </c>
      <c r="H30" s="5">
        <f t="shared" si="0"/>
        <v>10</v>
      </c>
      <c r="I30" s="1" t="s">
        <v>8</v>
      </c>
      <c r="J30" s="1" t="b">
        <f t="shared" ca="1" si="1"/>
        <v>1</v>
      </c>
      <c r="K30" t="s">
        <v>31</v>
      </c>
      <c r="L30" t="s">
        <v>74</v>
      </c>
    </row>
    <row r="31" spans="2:12" x14ac:dyDescent="0.3">
      <c r="B31" s="1" t="s">
        <v>32</v>
      </c>
      <c r="C31" t="s">
        <v>33</v>
      </c>
      <c r="D31" t="s">
        <v>66</v>
      </c>
      <c r="E31" t="s">
        <v>19</v>
      </c>
      <c r="F31" s="2">
        <v>46073</v>
      </c>
      <c r="G31" s="2">
        <v>46078</v>
      </c>
      <c r="H31" s="5">
        <f t="shared" si="0"/>
        <v>5</v>
      </c>
      <c r="I31" s="1" t="s">
        <v>8</v>
      </c>
      <c r="J31" s="1" t="b">
        <f t="shared" ca="1" si="1"/>
        <v>1</v>
      </c>
      <c r="K31" t="s">
        <v>35</v>
      </c>
      <c r="L31" t="s">
        <v>74</v>
      </c>
    </row>
    <row r="32" spans="2:12" x14ac:dyDescent="0.3">
      <c r="B32" s="1" t="s">
        <v>36</v>
      </c>
      <c r="C32" t="s">
        <v>63</v>
      </c>
      <c r="D32" t="s">
        <v>66</v>
      </c>
      <c r="E32" t="s">
        <v>30</v>
      </c>
      <c r="F32" s="2">
        <v>46076</v>
      </c>
      <c r="G32" s="2">
        <v>46079</v>
      </c>
      <c r="H32" s="5">
        <f t="shared" si="0"/>
        <v>3</v>
      </c>
      <c r="I32" s="1" t="s">
        <v>9</v>
      </c>
      <c r="J32" s="1" t="b">
        <f t="shared" ca="1" si="1"/>
        <v>1</v>
      </c>
      <c r="K32" t="s">
        <v>37</v>
      </c>
      <c r="L32" s="7" t="s">
        <v>73</v>
      </c>
    </row>
    <row r="33" spans="2:12" x14ac:dyDescent="0.3">
      <c r="B33" s="1" t="s">
        <v>38</v>
      </c>
      <c r="C33" t="s">
        <v>39</v>
      </c>
      <c r="D33" t="s">
        <v>40</v>
      </c>
      <c r="E33" t="s">
        <v>30</v>
      </c>
      <c r="F33" s="2">
        <v>46076</v>
      </c>
      <c r="G33" s="2">
        <v>46081</v>
      </c>
      <c r="H33" s="5">
        <f t="shared" si="0"/>
        <v>5</v>
      </c>
      <c r="I33" s="1" t="s">
        <v>8</v>
      </c>
      <c r="J33" s="1" t="b">
        <f t="shared" ca="1" si="1"/>
        <v>1</v>
      </c>
      <c r="K33" t="s">
        <v>41</v>
      </c>
      <c r="L33" t="s">
        <v>72</v>
      </c>
    </row>
    <row r="34" spans="2:12" x14ac:dyDescent="0.3">
      <c r="B34" s="1" t="s">
        <v>42</v>
      </c>
      <c r="C34" t="s">
        <v>43</v>
      </c>
      <c r="D34" t="s">
        <v>66</v>
      </c>
      <c r="E34" t="s">
        <v>15</v>
      </c>
      <c r="F34" s="2">
        <v>46083</v>
      </c>
      <c r="G34" s="2">
        <v>46095</v>
      </c>
      <c r="H34" s="5">
        <f t="shared" si="0"/>
        <v>12</v>
      </c>
      <c r="I34" s="1" t="s">
        <v>16</v>
      </c>
      <c r="J34" s="1" t="b">
        <f t="shared" ca="1" si="1"/>
        <v>0</v>
      </c>
      <c r="K34" t="s">
        <v>44</v>
      </c>
      <c r="L34" s="7" t="s">
        <v>73</v>
      </c>
    </row>
    <row r="35" spans="2:12" x14ac:dyDescent="0.3">
      <c r="B35" s="1" t="s">
        <v>45</v>
      </c>
      <c r="C35" t="s">
        <v>64</v>
      </c>
      <c r="D35" t="s">
        <v>66</v>
      </c>
      <c r="E35" t="s">
        <v>15</v>
      </c>
      <c r="F35" s="2">
        <v>46086</v>
      </c>
      <c r="G35" s="2">
        <v>46091</v>
      </c>
      <c r="H35" s="5">
        <f t="shared" si="0"/>
        <v>5</v>
      </c>
      <c r="I35" s="1" t="s">
        <v>8</v>
      </c>
      <c r="J35" s="1" t="b">
        <f t="shared" ca="1" si="1"/>
        <v>1</v>
      </c>
      <c r="K35" t="s">
        <v>46</v>
      </c>
      <c r="L35" t="s">
        <v>74</v>
      </c>
    </row>
    <row r="36" spans="2:12" x14ac:dyDescent="0.3">
      <c r="B36" s="1" t="s">
        <v>47</v>
      </c>
      <c r="C36" t="s">
        <v>48</v>
      </c>
      <c r="D36" t="s">
        <v>65</v>
      </c>
      <c r="E36" t="s">
        <v>19</v>
      </c>
      <c r="F36" s="2">
        <v>46088</v>
      </c>
      <c r="G36" s="2">
        <v>46099</v>
      </c>
      <c r="H36" s="5">
        <f t="shared" si="0"/>
        <v>11</v>
      </c>
      <c r="I36" s="1" t="s">
        <v>16</v>
      </c>
      <c r="J36" s="1" t="b">
        <f t="shared" ca="1" si="1"/>
        <v>0</v>
      </c>
      <c r="K36" t="s">
        <v>49</v>
      </c>
      <c r="L36" t="s">
        <v>72</v>
      </c>
    </row>
    <row r="37" spans="2:12" x14ac:dyDescent="0.3">
      <c r="B37" s="1" t="s">
        <v>50</v>
      </c>
      <c r="C37" t="s">
        <v>67</v>
      </c>
      <c r="D37" s="3" t="s">
        <v>57</v>
      </c>
      <c r="E37" t="s">
        <v>15</v>
      </c>
      <c r="F37" s="2">
        <v>46092</v>
      </c>
      <c r="G37" s="2">
        <v>46101</v>
      </c>
      <c r="H37" s="5">
        <f t="shared" si="0"/>
        <v>9</v>
      </c>
      <c r="I37" s="1" t="s">
        <v>16</v>
      </c>
      <c r="J37" s="1" t="b">
        <f t="shared" ca="1" si="1"/>
        <v>0</v>
      </c>
      <c r="K37" t="s">
        <v>51</v>
      </c>
      <c r="L37" s="7" t="s">
        <v>73</v>
      </c>
    </row>
    <row r="38" spans="2:12" x14ac:dyDescent="0.3">
      <c r="B38" s="1" t="s">
        <v>52</v>
      </c>
      <c r="C38" t="s">
        <v>53</v>
      </c>
      <c r="D38" s="3" t="s">
        <v>57</v>
      </c>
      <c r="E38" t="s">
        <v>34</v>
      </c>
      <c r="F38" s="2">
        <v>46094</v>
      </c>
      <c r="G38" s="2">
        <v>46105</v>
      </c>
      <c r="H38" s="5">
        <f t="shared" si="0"/>
        <v>11</v>
      </c>
      <c r="I38" s="1" t="s">
        <v>8</v>
      </c>
      <c r="J38" s="1" t="b">
        <f t="shared" ca="1" si="1"/>
        <v>0</v>
      </c>
      <c r="K38" t="s">
        <v>54</v>
      </c>
      <c r="L38" t="s">
        <v>72</v>
      </c>
    </row>
    <row r="39" spans="2:12" x14ac:dyDescent="0.3">
      <c r="B39" s="1" t="s">
        <v>55</v>
      </c>
      <c r="C39" t="s">
        <v>56</v>
      </c>
      <c r="D39" t="s">
        <v>57</v>
      </c>
      <c r="E39" t="s">
        <v>34</v>
      </c>
      <c r="F39" s="2">
        <v>46096</v>
      </c>
      <c r="G39" s="2">
        <v>46110</v>
      </c>
      <c r="H39" s="5">
        <f t="shared" si="0"/>
        <v>14</v>
      </c>
      <c r="I39" s="1" t="s">
        <v>8</v>
      </c>
      <c r="J39" s="1" t="b">
        <f t="shared" ca="1" si="1"/>
        <v>0</v>
      </c>
      <c r="K39" t="s">
        <v>58</v>
      </c>
      <c r="L39" t="s">
        <v>72</v>
      </c>
    </row>
    <row r="40" spans="2:12" x14ac:dyDescent="0.3">
      <c r="B40" s="1" t="s">
        <v>59</v>
      </c>
      <c r="C40" t="s">
        <v>60</v>
      </c>
      <c r="D40" t="s">
        <v>65</v>
      </c>
      <c r="E40" t="s">
        <v>34</v>
      </c>
      <c r="F40" s="2">
        <v>46097</v>
      </c>
      <c r="G40" s="2">
        <v>46111</v>
      </c>
      <c r="H40" s="5">
        <f t="shared" si="0"/>
        <v>14</v>
      </c>
      <c r="I40" s="1" t="s">
        <v>9</v>
      </c>
      <c r="J40" s="1" t="b">
        <f t="shared" ca="1" si="1"/>
        <v>0</v>
      </c>
      <c r="K40" t="s">
        <v>61</v>
      </c>
      <c r="L40" t="s">
        <v>72</v>
      </c>
    </row>
  </sheetData>
  <autoFilter ref="B25:L25" xr:uid="{28FA565C-E58D-E845-893A-5E7880C6E96F}"/>
  <mergeCells count="3">
    <mergeCell ref="A2:C2"/>
    <mergeCell ref="A1:C1"/>
    <mergeCell ref="B3:C3"/>
  </mergeCells>
  <conditionalFormatting sqref="L25:L40">
    <cfRule type="containsText" dxfId="3" priority="1" operator="containsText" text="Medium">
      <formula>NOT(ISERROR(SEARCH("Medium",L25)))</formula>
    </cfRule>
    <cfRule type="containsText" dxfId="2" priority="2" operator="containsText" text="Low">
      <formula>NOT(ISERROR(SEARCH("Low",L25)))</formula>
    </cfRule>
    <cfRule type="containsText" dxfId="1" priority="3" operator="containsText" text="Medium">
      <formula>NOT(ISERROR(SEARCH("Medium",L25)))</formula>
    </cfRule>
    <cfRule type="containsText" dxfId="0" priority="4" operator="containsText" text="High">
      <formula>NOT(ISERROR(SEARCH("High",L25)))</formula>
    </cfRule>
  </conditionalFormatting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367A0FF-795E-4A44-A944-4AA148DC9C84}">
          <x14:formula1>
            <xm:f>'Support Sheet'!$E$3:$E$7</xm:f>
          </x14:formula1>
          <xm:sqref>E25:E40</xm:sqref>
        </x14:dataValidation>
        <x14:dataValidation type="list" allowBlank="1" showInputMessage="1" showErrorMessage="1" xr:uid="{C660300C-1AC6-430F-9C68-C4F3B3042E1E}">
          <x14:formula1>
            <xm:f>'Support Sheet'!$B$3:$B$6</xm:f>
          </x14:formula1>
          <xm:sqref>I26:I40</xm:sqref>
        </x14:dataValidation>
        <x14:dataValidation type="list" allowBlank="1" showInputMessage="1" showErrorMessage="1" xr:uid="{F7DF6EF2-F675-4A95-A1C7-E0017806E8AB}">
          <x14:formula1>
            <xm:f>'Support Sheet'!$H$3:$H$6</xm:f>
          </x14:formula1>
          <xm:sqref>D25:D40</xm:sqref>
        </x14:dataValidation>
        <x14:dataValidation type="list" allowBlank="1" showInputMessage="1" showErrorMessage="1" xr:uid="{56647CE8-30D2-43E2-928F-A8A67C827DAD}">
          <x14:formula1>
            <xm:f>'Support Sheet'!$L$3:$L$5</xm:f>
          </x14:formula1>
          <xm:sqref>L25:L40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6006-6B40-364D-90DA-E56E32DD5F29}">
  <dimension ref="B2:P10"/>
  <sheetViews>
    <sheetView zoomScale="98" zoomScaleNormal="115" workbookViewId="0">
      <selection activeCell="C8" sqref="C8"/>
    </sheetView>
  </sheetViews>
  <sheetFormatPr baseColWidth="10" defaultColWidth="11.19921875" defaultRowHeight="15.6" x14ac:dyDescent="0.3"/>
  <cols>
    <col min="1" max="1" width="3.296875" customWidth="1"/>
    <col min="2" max="2" width="11.3984375" customWidth="1"/>
    <col min="3" max="3" width="31" customWidth="1"/>
    <col min="4" max="4" width="7.796875" customWidth="1"/>
    <col min="5" max="5" width="15.3984375" customWidth="1"/>
    <col min="6" max="6" width="15.8984375" style="1" customWidth="1"/>
    <col min="7" max="7" width="7.796875" customWidth="1"/>
    <col min="9" max="9" width="6.19921875" bestFit="1" customWidth="1"/>
    <col min="10" max="10" width="7.796875" customWidth="1"/>
    <col min="11" max="11" width="8" bestFit="1" customWidth="1"/>
  </cols>
  <sheetData>
    <row r="2" spans="2:16" x14ac:dyDescent="0.3">
      <c r="B2" s="4" t="s">
        <v>4</v>
      </c>
      <c r="C2" s="4" t="s">
        <v>68</v>
      </c>
      <c r="E2" s="4" t="s">
        <v>10</v>
      </c>
      <c r="F2" s="4" t="s">
        <v>68</v>
      </c>
      <c r="H2" s="4" t="s">
        <v>70</v>
      </c>
      <c r="I2" s="4" t="s">
        <v>68</v>
      </c>
      <c r="K2" s="4" t="s">
        <v>12</v>
      </c>
      <c r="L2" s="6" t="s">
        <v>71</v>
      </c>
      <c r="M2" s="4" t="s">
        <v>68</v>
      </c>
      <c r="N2" s="6" t="s">
        <v>75</v>
      </c>
      <c r="P2" s="6" t="s">
        <v>76</v>
      </c>
    </row>
    <row r="3" spans="2:16" x14ac:dyDescent="0.3">
      <c r="B3" t="s">
        <v>16</v>
      </c>
      <c r="C3" s="1">
        <f>COUNTIF(Dashboard!I26:I40,'Support Sheet'!B3)</f>
        <v>6</v>
      </c>
      <c r="E3" t="s">
        <v>15</v>
      </c>
      <c r="F3" s="1" cm="1">
        <f t="array" ref="F3:F7">COUNTIF(Dashboard!E26:E40,'Support Sheet'!E3:E7)</f>
        <v>6</v>
      </c>
      <c r="H3" t="s">
        <v>65</v>
      </c>
      <c r="I3" s="1" cm="1">
        <f t="array" ref="I3:I6">COUNTIF(Dashboard!D26:D40,'Support Sheet'!H3:H6)</f>
        <v>4</v>
      </c>
      <c r="K3" s="1">
        <f ca="1">COUNTIF(Dashboard!J26:J40,TRUE)</f>
        <v>6</v>
      </c>
      <c r="L3" t="s">
        <v>72</v>
      </c>
      <c r="M3">
        <f>COUNTIF(Dashboard!L26:L40,'Support Sheet'!L3)</f>
        <v>6</v>
      </c>
      <c r="N3">
        <f ca="1">COUNTIF(Dashboard!G26:G40,TODAY())</f>
        <v>0</v>
      </c>
      <c r="P3" s="8">
        <f ca="1">TODAY()</f>
        <v>46094</v>
      </c>
    </row>
    <row r="4" spans="2:16" x14ac:dyDescent="0.3">
      <c r="B4" t="s">
        <v>8</v>
      </c>
      <c r="C4" s="1">
        <f>COUNTIF(Dashboard!I27:I40,'Support Sheet'!B4)</f>
        <v>7</v>
      </c>
      <c r="E4" t="s">
        <v>19</v>
      </c>
      <c r="F4" s="1">
        <v>3</v>
      </c>
      <c r="H4" t="s">
        <v>57</v>
      </c>
      <c r="I4" s="1">
        <v>6</v>
      </c>
      <c r="L4" t="s">
        <v>73</v>
      </c>
      <c r="M4">
        <f>COUNTIF(Dashboard!L27:L40,'Support Sheet'!L4)</f>
        <v>4</v>
      </c>
    </row>
    <row r="5" spans="2:16" x14ac:dyDescent="0.3">
      <c r="B5" t="s">
        <v>9</v>
      </c>
      <c r="C5" s="1">
        <f>COUNTIF(Dashboard!I28:I40,'Support Sheet'!B5)</f>
        <v>2</v>
      </c>
      <c r="E5" t="s">
        <v>26</v>
      </c>
      <c r="F5" s="1">
        <v>1</v>
      </c>
      <c r="H5" t="s">
        <v>66</v>
      </c>
      <c r="I5" s="1">
        <v>4</v>
      </c>
      <c r="L5" t="s">
        <v>74</v>
      </c>
      <c r="M5">
        <f>COUNTIF(Dashboard!L28:L40,'Support Sheet'!L5)</f>
        <v>5</v>
      </c>
    </row>
    <row r="6" spans="2:16" x14ac:dyDescent="0.3">
      <c r="B6" t="s">
        <v>69</v>
      </c>
      <c r="C6" s="1">
        <f>SUM(C3:C5)</f>
        <v>15</v>
      </c>
      <c r="E6" t="s">
        <v>30</v>
      </c>
      <c r="F6" s="1">
        <v>2</v>
      </c>
      <c r="H6" t="s">
        <v>40</v>
      </c>
      <c r="I6" s="1">
        <v>1</v>
      </c>
      <c r="L6" t="s">
        <v>69</v>
      </c>
    </row>
    <row r="7" spans="2:16" x14ac:dyDescent="0.3">
      <c r="E7" t="s">
        <v>34</v>
      </c>
      <c r="F7" s="1">
        <v>3</v>
      </c>
      <c r="I7" s="1"/>
    </row>
    <row r="10" spans="2:16" x14ac:dyDescent="0.3">
      <c r="E10" s="1"/>
      <c r="M1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Dashboard</vt:lpstr>
      <vt:lpstr>Support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Amina Hussain</cp:lastModifiedBy>
  <dcterms:created xsi:type="dcterms:W3CDTF">2025-09-19T00:51:58Z</dcterms:created>
  <dcterms:modified xsi:type="dcterms:W3CDTF">2026-03-13T17:09:40Z</dcterms:modified>
</cp:coreProperties>
</file>